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orhan\Documents\Borhan Made\"/>
    </mc:Choice>
  </mc:AlternateContent>
  <xr:revisionPtr revIDLastSave="0" documentId="13_ncr:1_{9BD04AD0-9BFE-4048-8891-8DEED1B81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5" i="1"/>
  <c r="I5" i="1"/>
  <c r="L5" i="1"/>
  <c r="F6" i="1"/>
  <c r="H6" i="1" s="1"/>
  <c r="I6" i="1"/>
  <c r="L6" i="1"/>
  <c r="F7" i="1"/>
  <c r="H7" i="1" s="1"/>
  <c r="I7" i="1"/>
  <c r="L7" i="1"/>
  <c r="F8" i="1"/>
  <c r="H8" i="1"/>
  <c r="I8" i="1"/>
  <c r="L8" i="1"/>
  <c r="F9" i="1"/>
  <c r="H9" i="1"/>
  <c r="I9" i="1"/>
  <c r="L9" i="1"/>
  <c r="F10" i="1"/>
  <c r="H10" i="1"/>
  <c r="I10" i="1"/>
  <c r="L10" i="1"/>
  <c r="F11" i="1"/>
  <c r="H11" i="1"/>
  <c r="I11" i="1"/>
  <c r="L11" i="1"/>
  <c r="F12" i="1"/>
  <c r="H12" i="1"/>
  <c r="I12" i="1"/>
  <c r="L12" i="1"/>
  <c r="F13" i="1"/>
  <c r="H13" i="1"/>
  <c r="I13" i="1"/>
  <c r="L13" i="1"/>
  <c r="F14" i="1"/>
  <c r="H14" i="1"/>
  <c r="I14" i="1"/>
  <c r="L14" i="1"/>
  <c r="F15" i="1"/>
  <c r="H15" i="1"/>
  <c r="I15" i="1"/>
  <c r="L15" i="1"/>
  <c r="F16" i="1"/>
  <c r="H16" i="1"/>
  <c r="I16" i="1"/>
  <c r="L16" i="1"/>
  <c r="F17" i="1"/>
  <c r="H17" i="1"/>
  <c r="I17" i="1"/>
  <c r="L17" i="1"/>
  <c r="F18" i="1"/>
  <c r="H18" i="1"/>
  <c r="I18" i="1"/>
  <c r="L18" i="1"/>
  <c r="F19" i="1"/>
  <c r="H19" i="1"/>
  <c r="I19" i="1"/>
  <c r="L19" i="1"/>
  <c r="F20" i="1"/>
  <c r="H20" i="1"/>
  <c r="I20" i="1"/>
  <c r="L20" i="1"/>
  <c r="F21" i="1"/>
  <c r="H21" i="1"/>
  <c r="I21" i="1"/>
  <c r="L21" i="1"/>
  <c r="F22" i="1"/>
  <c r="H22" i="1"/>
  <c r="I22" i="1"/>
  <c r="L22" i="1"/>
  <c r="F23" i="1"/>
  <c r="H23" i="1"/>
  <c r="I23" i="1"/>
  <c r="L23" i="1"/>
  <c r="F24" i="1"/>
  <c r="H24" i="1"/>
  <c r="I24" i="1"/>
  <c r="L24" i="1"/>
  <c r="F25" i="1"/>
  <c r="H25" i="1"/>
  <c r="I25" i="1"/>
  <c r="L25" i="1"/>
  <c r="F26" i="1"/>
  <c r="H26" i="1"/>
  <c r="I26" i="1"/>
  <c r="L26" i="1"/>
  <c r="F27" i="1"/>
  <c r="H27" i="1"/>
  <c r="I27" i="1"/>
  <c r="L27" i="1"/>
  <c r="F28" i="1"/>
  <c r="H28" i="1"/>
  <c r="I28" i="1"/>
  <c r="L28" i="1"/>
  <c r="F29" i="1"/>
  <c r="H29" i="1"/>
  <c r="I29" i="1"/>
  <c r="L29" i="1"/>
  <c r="F30" i="1"/>
  <c r="H30" i="1"/>
  <c r="I30" i="1"/>
  <c r="L30" i="1"/>
  <c r="F31" i="1"/>
  <c r="H31" i="1"/>
  <c r="I31" i="1"/>
  <c r="L31" i="1"/>
  <c r="F4" i="1"/>
  <c r="H4" i="1" s="1"/>
  <c r="I4" i="1"/>
  <c r="L4" i="1"/>
  <c r="F3" i="1"/>
  <c r="H3" i="1" s="1"/>
  <c r="F2" i="1"/>
  <c r="I3" i="1"/>
  <c r="L3" i="1"/>
  <c r="L2" i="1"/>
  <c r="I2" i="1"/>
  <c r="H2" i="1"/>
</calcChain>
</file>

<file path=xl/sharedStrings.xml><?xml version="1.0" encoding="utf-8"?>
<sst xmlns="http://schemas.openxmlformats.org/spreadsheetml/2006/main" count="77" uniqueCount="47">
  <si>
    <t>Name of the Line</t>
  </si>
  <si>
    <t>Type of the line</t>
  </si>
  <si>
    <t>Lentgh (Ft')</t>
  </si>
  <si>
    <t>Friction Rate</t>
  </si>
  <si>
    <t>Duct Width (W)</t>
  </si>
  <si>
    <t>Centerline Radius of the Elbow</t>
  </si>
  <si>
    <t>Duct height</t>
  </si>
  <si>
    <t>Bend radius ratio (R/W)</t>
  </si>
  <si>
    <t>H/W ratio</t>
  </si>
  <si>
    <t>Velocity (FPM)</t>
  </si>
  <si>
    <t>C (Loss Coefficient) (From Table CR3-1)</t>
  </si>
  <si>
    <t>A1</t>
  </si>
  <si>
    <t>Type Of Line</t>
  </si>
  <si>
    <t>Straight</t>
  </si>
  <si>
    <t>Elbow</t>
  </si>
  <si>
    <t>Transistion</t>
  </si>
  <si>
    <t>Outlet</t>
  </si>
  <si>
    <t>Pressure Drop (in. of Wg)</t>
  </si>
  <si>
    <t>A2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</si>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</sst>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239184</xdr:colOff>
      <xdr:row>0</xdr:row>
      <xdr:rowOff>248708</xdr:rowOff>
    </xdr:from>
    <xdr:to>
      <xdr:col>19</xdr:col>
      <xdr:colOff>677328</xdr:colOff>
      <xdr:row>12</xdr:row>
      <xdr:rowOff>89958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09B54-4B00-BB74-ABF5-1EAC376E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6934" y="248708"/>
          <a:ext cx="9846727" cy="346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F2" sqref="F2"/>
    </sheetView>
  </sheetViews>
  <sheetFormatPr defaultColWidth="20.140625" defaultRowHeight="22.5" customHeight="1" x14ac:dyDescent="0.25"/>
  <cols>
    <col min="1" max="2" width="20.140625" style="1"/>
    <col min="3" max="3" width="11.7109375" style="2" customWidth="1"/>
    <col min="4" max="4" width="12.28515625" style="4" customWidth="1"/>
    <col min="5" max="5" width="14.42578125" style="2" customWidth="1"/>
    <col min="6" max="6" width="16.5703125" style="2" customWidth="1"/>
    <col min="7" max="7" width="20.140625" style="2"/>
    <col min="8" max="8" width="24.85546875" style="6" customWidth="1"/>
    <col min="9" max="9" width="20.140625" style="7"/>
    <col min="10" max="10" width="20.140625" style="1"/>
    <col min="11" max="11" width="20" style="1" customWidth="1"/>
    <col min="12" max="12" width="24.5703125" style="5" customWidth="1"/>
    <col min="13" max="16384" width="20.140625" style="1"/>
  </cols>
  <sheetData>
    <row r="1" spans="1:12" ht="37.5" customHeight="1" thickBot="1" x14ac:dyDescent="0.3">
      <c r="A1" s="8" t="s">
        <v>0</v>
      </c>
      <c r="B1" s="8" t="s">
        <v>1</v>
      </c>
      <c r="C1" s="9" t="s">
        <v>2</v>
      </c>
      <c r="D1" s="10" t="s">
        <v>3</v>
      </c>
      <c r="E1" s="9" t="s">
        <v>4</v>
      </c>
      <c r="F1" s="11" t="s">
        <v>5</v>
      </c>
      <c r="G1" s="9" t="s">
        <v>6</v>
      </c>
      <c r="H1" s="12" t="s">
        <v>7</v>
      </c>
      <c r="I1" s="13" t="s">
        <v>8</v>
      </c>
      <c r="J1" s="8" t="s">
        <v>9</v>
      </c>
      <c r="K1" s="14" t="s">
        <v>10</v>
      </c>
      <c r="L1" s="15" t="s">
        <v>17</v>
      </c>
    </row>
    <row r="2" spans="1:12" ht="22.5" customHeight="1" x14ac:dyDescent="0.25">
      <c r="A2" s="1" t="s">
        <v>11</v>
      </c>
      <c r="B2" s="1" t="s">
        <v>13</v>
      </c>
      <c r="C2" s="2">
        <v>30</v>
      </c>
      <c r="D2" s="3">
        <v>0.08</v>
      </c>
      <c r="E2" s="2">
        <v>6</v>
      </c>
      <c r="F2" s="2">
        <f>6+(E2/2)</f>
        <v>9</v>
      </c>
      <c r="G2" s="2">
        <v>3</v>
      </c>
      <c r="H2" s="6">
        <f>F2/E2</f>
        <v>1.5</v>
      </c>
      <c r="I2" s="7">
        <f>G2/E2</f>
        <v>0.5</v>
      </c>
      <c r="J2" s="1">
        <v>680</v>
      </c>
      <c r="K2" s="1">
        <v>1.29</v>
      </c>
      <c r="L2" s="5">
        <f>IF(B2="Straight",(C2*D2)/100,IF(B2="Elbow",((J2/4000)^2)*K2,0))</f>
        <v>2.4E-2</v>
      </c>
    </row>
    <row r="3" spans="1:12" ht="22.5" customHeight="1" x14ac:dyDescent="0.25">
      <c r="A3" s="1" t="s">
        <v>18</v>
      </c>
      <c r="B3" s="1" t="s">
        <v>14</v>
      </c>
      <c r="C3" s="2">
        <v>0</v>
      </c>
      <c r="D3" s="4">
        <v>0.08</v>
      </c>
      <c r="E3" s="2">
        <v>4</v>
      </c>
      <c r="F3" s="2">
        <f>6+(E3/2)</f>
        <v>8</v>
      </c>
      <c r="G3" s="2">
        <v>4</v>
      </c>
      <c r="H3" s="6">
        <f>F3/E3</f>
        <v>2</v>
      </c>
      <c r="I3" s="7">
        <f>G3/E3</f>
        <v>1</v>
      </c>
      <c r="J3" s="1">
        <v>425</v>
      </c>
      <c r="K3" s="1">
        <v>1.18</v>
      </c>
      <c r="L3" s="5">
        <f>IF(B3="Straight",(C3*D3)/100,IF(B3="Elbow",((J3/4000)^2)*K3,0))</f>
        <v>1.3321093749999997E-2</v>
      </c>
    </row>
    <row r="4" spans="1:12" ht="22.5" customHeight="1" x14ac:dyDescent="0.25">
      <c r="A4" s="1" t="s">
        <v>19</v>
      </c>
      <c r="B4" s="1" t="s">
        <v>13</v>
      </c>
      <c r="C4" s="2">
        <v>0</v>
      </c>
      <c r="D4" s="4">
        <v>0</v>
      </c>
      <c r="E4" s="2">
        <v>1</v>
      </c>
      <c r="F4" s="2">
        <f>6+(E4/2)</f>
        <v>6.5</v>
      </c>
      <c r="G4" s="2">
        <v>0</v>
      </c>
      <c r="H4" s="6">
        <f>F4/E4</f>
        <v>6.5</v>
      </c>
      <c r="I4" s="7">
        <f>G4/E4</f>
        <v>0</v>
      </c>
      <c r="J4" s="1">
        <v>585</v>
      </c>
      <c r="K4" s="1">
        <v>0.25</v>
      </c>
      <c r="L4" s="5">
        <f>IF(B4="Straight",(C4*D4)/100,IF(B4="Elbow",((J4/4000)^2)*K4,0))</f>
        <v>0</v>
      </c>
    </row>
    <row r="5" spans="1:12" ht="22.5" customHeight="1" x14ac:dyDescent="0.25">
      <c r="A5" s="1" t="s">
        <v>20</v>
      </c>
      <c r="B5" s="1" t="s">
        <v>14</v>
      </c>
      <c r="C5" s="2">
        <v>0</v>
      </c>
      <c r="D5" s="4">
        <v>0</v>
      </c>
      <c r="E5" s="2">
        <v>1</v>
      </c>
      <c r="F5" s="2">
        <f t="shared" ref="F5:F31" si="0">6+(E5/2)</f>
        <v>6.5</v>
      </c>
      <c r="G5" s="2">
        <v>0</v>
      </c>
      <c r="H5" s="6">
        <f t="shared" ref="H5:H31" si="1">F5/E5</f>
        <v>6.5</v>
      </c>
      <c r="I5" s="7">
        <f t="shared" ref="I5:I31" si="2">G5/E5</f>
        <v>0</v>
      </c>
      <c r="J5" s="1">
        <v>585</v>
      </c>
      <c r="K5" s="1">
        <v>0.25</v>
      </c>
      <c r="L5" s="5">
        <f t="shared" ref="L5:L31" si="3">IF(B5="Straight",(C5*D5)/100,IF(B5="Elbow",((J5/4000)^2)*K5,0))</f>
        <v>5.3472656249999992E-3</v>
      </c>
    </row>
    <row r="6" spans="1:12" ht="22.5" customHeight="1" x14ac:dyDescent="0.25">
      <c r="A6" s="1" t="s">
        <v>21</v>
      </c>
      <c r="B6" s="1" t="s">
        <v>14</v>
      </c>
      <c r="C6" s="2">
        <v>0</v>
      </c>
      <c r="D6" s="4">
        <v>0</v>
      </c>
      <c r="E6" s="2">
        <v>1</v>
      </c>
      <c r="F6" s="2">
        <f t="shared" si="0"/>
        <v>6.5</v>
      </c>
      <c r="G6" s="2">
        <v>0</v>
      </c>
      <c r="H6" s="6">
        <f t="shared" si="1"/>
        <v>6.5</v>
      </c>
      <c r="I6" s="7">
        <f t="shared" si="2"/>
        <v>0</v>
      </c>
      <c r="J6" s="1">
        <v>585</v>
      </c>
      <c r="K6" s="1">
        <v>0.25</v>
      </c>
      <c r="L6" s="5">
        <f t="shared" si="3"/>
        <v>5.3472656249999992E-3</v>
      </c>
    </row>
    <row r="7" spans="1:12" ht="22.5" customHeight="1" x14ac:dyDescent="0.25">
      <c r="A7" s="1" t="s">
        <v>22</v>
      </c>
      <c r="B7" s="1" t="s">
        <v>14</v>
      </c>
      <c r="C7" s="2">
        <v>0</v>
      </c>
      <c r="D7" s="4">
        <v>0</v>
      </c>
      <c r="E7" s="2">
        <v>1</v>
      </c>
      <c r="F7" s="2">
        <f t="shared" si="0"/>
        <v>6.5</v>
      </c>
      <c r="G7" s="2">
        <v>0</v>
      </c>
      <c r="H7" s="6">
        <f t="shared" si="1"/>
        <v>6.5</v>
      </c>
      <c r="I7" s="7">
        <f t="shared" si="2"/>
        <v>0</v>
      </c>
      <c r="J7" s="1">
        <v>585</v>
      </c>
      <c r="K7" s="1">
        <v>0.25</v>
      </c>
      <c r="L7" s="5">
        <f t="shared" si="3"/>
        <v>5.3472656249999992E-3</v>
      </c>
    </row>
    <row r="8" spans="1:12" ht="22.5" customHeight="1" x14ac:dyDescent="0.25">
      <c r="A8" s="1" t="s">
        <v>23</v>
      </c>
      <c r="B8" s="1" t="s">
        <v>14</v>
      </c>
      <c r="C8" s="2">
        <v>0</v>
      </c>
      <c r="D8" s="4">
        <v>0</v>
      </c>
      <c r="E8" s="2">
        <v>1</v>
      </c>
      <c r="F8" s="2">
        <f t="shared" si="0"/>
        <v>6.5</v>
      </c>
      <c r="G8" s="2">
        <v>0</v>
      </c>
      <c r="H8" s="6">
        <f t="shared" si="1"/>
        <v>6.5</v>
      </c>
      <c r="I8" s="7">
        <f t="shared" si="2"/>
        <v>0</v>
      </c>
      <c r="J8" s="1">
        <v>585</v>
      </c>
      <c r="K8" s="1">
        <v>0.25</v>
      </c>
      <c r="L8" s="5">
        <f t="shared" si="3"/>
        <v>5.3472656249999992E-3</v>
      </c>
    </row>
    <row r="9" spans="1:12" ht="22.5" customHeight="1" x14ac:dyDescent="0.25">
      <c r="A9" s="1" t="s">
        <v>24</v>
      </c>
      <c r="B9" s="1" t="s">
        <v>14</v>
      </c>
      <c r="C9" s="2">
        <v>0</v>
      </c>
      <c r="D9" s="4">
        <v>0</v>
      </c>
      <c r="E9" s="2">
        <v>1</v>
      </c>
      <c r="F9" s="2">
        <f t="shared" si="0"/>
        <v>6.5</v>
      </c>
      <c r="G9" s="2">
        <v>0</v>
      </c>
      <c r="H9" s="6">
        <f t="shared" si="1"/>
        <v>6.5</v>
      </c>
      <c r="I9" s="7">
        <f t="shared" si="2"/>
        <v>0</v>
      </c>
      <c r="J9" s="1">
        <v>585</v>
      </c>
      <c r="K9" s="1">
        <v>0.25</v>
      </c>
      <c r="L9" s="5">
        <f t="shared" si="3"/>
        <v>5.3472656249999992E-3</v>
      </c>
    </row>
    <row r="10" spans="1:12" ht="22.5" customHeight="1" x14ac:dyDescent="0.25">
      <c r="A10" s="1" t="s">
        <v>25</v>
      </c>
      <c r="B10" s="1" t="s">
        <v>14</v>
      </c>
      <c r="C10" s="2">
        <v>0</v>
      </c>
      <c r="D10" s="4">
        <v>0</v>
      </c>
      <c r="E10" s="2">
        <v>1</v>
      </c>
      <c r="F10" s="2">
        <f t="shared" si="0"/>
        <v>6.5</v>
      </c>
      <c r="G10" s="2">
        <v>0</v>
      </c>
      <c r="H10" s="6">
        <f t="shared" si="1"/>
        <v>6.5</v>
      </c>
      <c r="I10" s="7">
        <f t="shared" si="2"/>
        <v>0</v>
      </c>
      <c r="J10" s="1">
        <v>585</v>
      </c>
      <c r="K10" s="1">
        <v>0.25</v>
      </c>
      <c r="L10" s="5">
        <f t="shared" si="3"/>
        <v>5.3472656249999992E-3</v>
      </c>
    </row>
    <row r="11" spans="1:12" ht="22.5" customHeight="1" x14ac:dyDescent="0.25">
      <c r="A11" s="1" t="s">
        <v>26</v>
      </c>
      <c r="B11" s="1" t="s">
        <v>14</v>
      </c>
      <c r="C11" s="2">
        <v>0</v>
      </c>
      <c r="D11" s="4">
        <v>0</v>
      </c>
      <c r="E11" s="2">
        <v>1</v>
      </c>
      <c r="F11" s="2">
        <f t="shared" si="0"/>
        <v>6.5</v>
      </c>
      <c r="G11" s="2">
        <v>0</v>
      </c>
      <c r="H11" s="6">
        <f t="shared" si="1"/>
        <v>6.5</v>
      </c>
      <c r="I11" s="7">
        <f t="shared" si="2"/>
        <v>0</v>
      </c>
      <c r="J11" s="1">
        <v>585</v>
      </c>
      <c r="K11" s="1">
        <v>0.25</v>
      </c>
      <c r="L11" s="5">
        <f t="shared" si="3"/>
        <v>5.3472656249999992E-3</v>
      </c>
    </row>
    <row r="12" spans="1:12" ht="22.5" customHeight="1" x14ac:dyDescent="0.25">
      <c r="A12" s="1" t="s">
        <v>27</v>
      </c>
      <c r="B12" s="1" t="s">
        <v>14</v>
      </c>
      <c r="C12" s="2">
        <v>0</v>
      </c>
      <c r="D12" s="4">
        <v>0</v>
      </c>
      <c r="E12" s="2">
        <v>1</v>
      </c>
      <c r="F12" s="2">
        <f t="shared" si="0"/>
        <v>6.5</v>
      </c>
      <c r="G12" s="2">
        <v>0</v>
      </c>
      <c r="H12" s="6">
        <f t="shared" si="1"/>
        <v>6.5</v>
      </c>
      <c r="I12" s="7">
        <f t="shared" si="2"/>
        <v>0</v>
      </c>
      <c r="J12" s="1">
        <v>585</v>
      </c>
      <c r="K12" s="1">
        <v>0.25</v>
      </c>
      <c r="L12" s="5">
        <f t="shared" si="3"/>
        <v>5.3472656249999992E-3</v>
      </c>
    </row>
    <row r="13" spans="1:12" ht="22.5" customHeight="1" x14ac:dyDescent="0.25">
      <c r="A13" s="1" t="s">
        <v>28</v>
      </c>
      <c r="B13" s="1" t="s">
        <v>14</v>
      </c>
      <c r="C13" s="2">
        <v>0</v>
      </c>
      <c r="D13" s="4">
        <v>0</v>
      </c>
      <c r="E13" s="2">
        <v>1</v>
      </c>
      <c r="F13" s="2">
        <f t="shared" si="0"/>
        <v>6.5</v>
      </c>
      <c r="G13" s="2">
        <v>0</v>
      </c>
      <c r="H13" s="6">
        <f t="shared" si="1"/>
        <v>6.5</v>
      </c>
      <c r="I13" s="7">
        <f t="shared" si="2"/>
        <v>0</v>
      </c>
      <c r="J13" s="1">
        <v>585</v>
      </c>
      <c r="K13" s="1">
        <v>0.25</v>
      </c>
      <c r="L13" s="5">
        <f t="shared" si="3"/>
        <v>5.3472656249999992E-3</v>
      </c>
    </row>
    <row r="14" spans="1:12" ht="22.5" customHeight="1" x14ac:dyDescent="0.25">
      <c r="A14" s="1" t="s">
        <v>29</v>
      </c>
      <c r="B14" s="1" t="s">
        <v>14</v>
      </c>
      <c r="C14" s="2">
        <v>0</v>
      </c>
      <c r="D14" s="4">
        <v>0</v>
      </c>
      <c r="E14" s="2">
        <v>1</v>
      </c>
      <c r="F14" s="2">
        <f t="shared" si="0"/>
        <v>6.5</v>
      </c>
      <c r="G14" s="2">
        <v>0</v>
      </c>
      <c r="H14" s="6">
        <f t="shared" si="1"/>
        <v>6.5</v>
      </c>
      <c r="I14" s="7">
        <f t="shared" si="2"/>
        <v>0</v>
      </c>
      <c r="J14" s="1">
        <v>585</v>
      </c>
      <c r="K14" s="1">
        <v>0.25</v>
      </c>
      <c r="L14" s="5">
        <f t="shared" si="3"/>
        <v>5.3472656249999992E-3</v>
      </c>
    </row>
    <row r="15" spans="1:12" ht="22.5" customHeight="1" x14ac:dyDescent="0.25">
      <c r="A15" s="1" t="s">
        <v>30</v>
      </c>
      <c r="B15" s="1" t="s">
        <v>14</v>
      </c>
      <c r="C15" s="2">
        <v>0</v>
      </c>
      <c r="D15" s="4">
        <v>0</v>
      </c>
      <c r="E15" s="2">
        <v>1</v>
      </c>
      <c r="F15" s="2">
        <f t="shared" si="0"/>
        <v>6.5</v>
      </c>
      <c r="G15" s="2">
        <v>0</v>
      </c>
      <c r="H15" s="6">
        <f t="shared" si="1"/>
        <v>6.5</v>
      </c>
      <c r="I15" s="7">
        <f t="shared" si="2"/>
        <v>0</v>
      </c>
      <c r="J15" s="1">
        <v>585</v>
      </c>
      <c r="K15" s="1">
        <v>0.25</v>
      </c>
      <c r="L15" s="5">
        <f t="shared" si="3"/>
        <v>5.3472656249999992E-3</v>
      </c>
    </row>
    <row r="16" spans="1:12" ht="22.5" customHeight="1" x14ac:dyDescent="0.25">
      <c r="A16" s="1" t="s">
        <v>31</v>
      </c>
      <c r="B16" s="1" t="s">
        <v>14</v>
      </c>
      <c r="C16" s="2">
        <v>0</v>
      </c>
      <c r="D16" s="4">
        <v>0</v>
      </c>
      <c r="E16" s="2">
        <v>1</v>
      </c>
      <c r="F16" s="2">
        <f t="shared" si="0"/>
        <v>6.5</v>
      </c>
      <c r="G16" s="2">
        <v>0</v>
      </c>
      <c r="H16" s="6">
        <f t="shared" si="1"/>
        <v>6.5</v>
      </c>
      <c r="I16" s="7">
        <f t="shared" si="2"/>
        <v>0</v>
      </c>
      <c r="J16" s="1">
        <v>585</v>
      </c>
      <c r="K16" s="1">
        <v>0.25</v>
      </c>
      <c r="L16" s="5">
        <f t="shared" si="3"/>
        <v>5.3472656249999992E-3</v>
      </c>
    </row>
    <row r="17" spans="1:12" ht="22.5" customHeight="1" x14ac:dyDescent="0.25">
      <c r="A17" s="1" t="s">
        <v>32</v>
      </c>
      <c r="B17" s="1" t="s">
        <v>14</v>
      </c>
      <c r="C17" s="2">
        <v>0</v>
      </c>
      <c r="D17" s="4">
        <v>0</v>
      </c>
      <c r="E17" s="2">
        <v>1</v>
      </c>
      <c r="F17" s="2">
        <f t="shared" si="0"/>
        <v>6.5</v>
      </c>
      <c r="G17" s="2">
        <v>0</v>
      </c>
      <c r="H17" s="6">
        <f t="shared" si="1"/>
        <v>6.5</v>
      </c>
      <c r="I17" s="7">
        <f t="shared" si="2"/>
        <v>0</v>
      </c>
      <c r="J17" s="1">
        <v>585</v>
      </c>
      <c r="K17" s="1">
        <v>0.25</v>
      </c>
      <c r="L17" s="5">
        <f t="shared" si="3"/>
        <v>5.3472656249999992E-3</v>
      </c>
    </row>
    <row r="18" spans="1:12" ht="22.5" customHeight="1" x14ac:dyDescent="0.25">
      <c r="A18" s="1" t="s">
        <v>33</v>
      </c>
      <c r="B18" s="1" t="s">
        <v>14</v>
      </c>
      <c r="C18" s="2">
        <v>0</v>
      </c>
      <c r="D18" s="4">
        <v>0</v>
      </c>
      <c r="E18" s="2">
        <v>1</v>
      </c>
      <c r="F18" s="2">
        <f t="shared" si="0"/>
        <v>6.5</v>
      </c>
      <c r="G18" s="2">
        <v>0</v>
      </c>
      <c r="H18" s="6">
        <f t="shared" si="1"/>
        <v>6.5</v>
      </c>
      <c r="I18" s="7">
        <f t="shared" si="2"/>
        <v>0</v>
      </c>
      <c r="J18" s="1">
        <v>585</v>
      </c>
      <c r="K18" s="1">
        <v>0.25</v>
      </c>
      <c r="L18" s="5">
        <f t="shared" si="3"/>
        <v>5.3472656249999992E-3</v>
      </c>
    </row>
    <row r="19" spans="1:12" ht="22.5" customHeight="1" x14ac:dyDescent="0.25">
      <c r="A19" s="1" t="s">
        <v>34</v>
      </c>
      <c r="B19" s="1" t="s">
        <v>14</v>
      </c>
      <c r="C19" s="2">
        <v>0</v>
      </c>
      <c r="D19" s="4">
        <v>0</v>
      </c>
      <c r="E19" s="2">
        <v>1</v>
      </c>
      <c r="F19" s="2">
        <f t="shared" si="0"/>
        <v>6.5</v>
      </c>
      <c r="G19" s="2">
        <v>0</v>
      </c>
      <c r="H19" s="6">
        <f t="shared" si="1"/>
        <v>6.5</v>
      </c>
      <c r="I19" s="7">
        <f t="shared" si="2"/>
        <v>0</v>
      </c>
      <c r="J19" s="1">
        <v>585</v>
      </c>
      <c r="K19" s="1">
        <v>0.25</v>
      </c>
      <c r="L19" s="5">
        <f t="shared" si="3"/>
        <v>5.3472656249999992E-3</v>
      </c>
    </row>
    <row r="20" spans="1:12" ht="22.5" customHeight="1" x14ac:dyDescent="0.25">
      <c r="A20" s="1" t="s">
        <v>35</v>
      </c>
      <c r="B20" s="1" t="s">
        <v>14</v>
      </c>
      <c r="C20" s="2">
        <v>0</v>
      </c>
      <c r="D20" s="4">
        <v>0</v>
      </c>
      <c r="E20" s="2">
        <v>1</v>
      </c>
      <c r="F20" s="2">
        <f t="shared" si="0"/>
        <v>6.5</v>
      </c>
      <c r="G20" s="2">
        <v>0</v>
      </c>
      <c r="H20" s="6">
        <f t="shared" si="1"/>
        <v>6.5</v>
      </c>
      <c r="I20" s="7">
        <f t="shared" si="2"/>
        <v>0</v>
      </c>
      <c r="J20" s="1">
        <v>585</v>
      </c>
      <c r="K20" s="1">
        <v>0.25</v>
      </c>
      <c r="L20" s="5">
        <f t="shared" si="3"/>
        <v>5.3472656249999992E-3</v>
      </c>
    </row>
    <row r="21" spans="1:12" ht="22.5" customHeight="1" x14ac:dyDescent="0.25">
      <c r="A21" s="1" t="s">
        <v>36</v>
      </c>
      <c r="B21" s="1" t="s">
        <v>14</v>
      </c>
      <c r="C21" s="2">
        <v>0</v>
      </c>
      <c r="D21" s="4">
        <v>0</v>
      </c>
      <c r="E21" s="2">
        <v>1</v>
      </c>
      <c r="F21" s="2">
        <f t="shared" si="0"/>
        <v>6.5</v>
      </c>
      <c r="G21" s="2">
        <v>0</v>
      </c>
      <c r="H21" s="6">
        <f t="shared" si="1"/>
        <v>6.5</v>
      </c>
      <c r="I21" s="7">
        <f t="shared" si="2"/>
        <v>0</v>
      </c>
      <c r="J21" s="1">
        <v>585</v>
      </c>
      <c r="K21" s="1">
        <v>0.25</v>
      </c>
      <c r="L21" s="5">
        <f t="shared" si="3"/>
        <v>5.3472656249999992E-3</v>
      </c>
    </row>
    <row r="22" spans="1:12" ht="22.5" customHeight="1" x14ac:dyDescent="0.25">
      <c r="A22" s="1" t="s">
        <v>37</v>
      </c>
      <c r="B22" s="1" t="s">
        <v>14</v>
      </c>
      <c r="C22" s="2">
        <v>0</v>
      </c>
      <c r="D22" s="4">
        <v>0</v>
      </c>
      <c r="E22" s="2">
        <v>1</v>
      </c>
      <c r="F22" s="2">
        <f t="shared" si="0"/>
        <v>6.5</v>
      </c>
      <c r="G22" s="2">
        <v>0</v>
      </c>
      <c r="H22" s="6">
        <f t="shared" si="1"/>
        <v>6.5</v>
      </c>
      <c r="I22" s="7">
        <f t="shared" si="2"/>
        <v>0</v>
      </c>
      <c r="J22" s="1">
        <v>585</v>
      </c>
      <c r="K22" s="1">
        <v>0.25</v>
      </c>
      <c r="L22" s="5">
        <f t="shared" si="3"/>
        <v>5.3472656249999992E-3</v>
      </c>
    </row>
    <row r="23" spans="1:12" ht="22.5" customHeight="1" x14ac:dyDescent="0.25">
      <c r="A23" s="1" t="s">
        <v>38</v>
      </c>
      <c r="B23" s="1" t="s">
        <v>14</v>
      </c>
      <c r="C23" s="2">
        <v>0</v>
      </c>
      <c r="D23" s="4">
        <v>0</v>
      </c>
      <c r="E23" s="2">
        <v>1</v>
      </c>
      <c r="F23" s="2">
        <f t="shared" si="0"/>
        <v>6.5</v>
      </c>
      <c r="G23" s="2">
        <v>0</v>
      </c>
      <c r="H23" s="6">
        <f t="shared" si="1"/>
        <v>6.5</v>
      </c>
      <c r="I23" s="7">
        <f t="shared" si="2"/>
        <v>0</v>
      </c>
      <c r="J23" s="1">
        <v>585</v>
      </c>
      <c r="K23" s="1">
        <v>0.25</v>
      </c>
      <c r="L23" s="5">
        <f t="shared" si="3"/>
        <v>5.3472656249999992E-3</v>
      </c>
    </row>
    <row r="24" spans="1:12" ht="22.5" customHeight="1" x14ac:dyDescent="0.25">
      <c r="A24" s="1" t="s">
        <v>39</v>
      </c>
      <c r="B24" s="1" t="s">
        <v>14</v>
      </c>
      <c r="C24" s="2">
        <v>0</v>
      </c>
      <c r="D24" s="4">
        <v>0</v>
      </c>
      <c r="E24" s="2">
        <v>1</v>
      </c>
      <c r="F24" s="2">
        <f t="shared" si="0"/>
        <v>6.5</v>
      </c>
      <c r="G24" s="2">
        <v>0</v>
      </c>
      <c r="H24" s="6">
        <f t="shared" si="1"/>
        <v>6.5</v>
      </c>
      <c r="I24" s="7">
        <f t="shared" si="2"/>
        <v>0</v>
      </c>
      <c r="J24" s="1">
        <v>585</v>
      </c>
      <c r="K24" s="1">
        <v>0.25</v>
      </c>
      <c r="L24" s="5">
        <f t="shared" si="3"/>
        <v>5.3472656249999992E-3</v>
      </c>
    </row>
    <row r="25" spans="1:12" ht="22.5" customHeight="1" x14ac:dyDescent="0.25">
      <c r="A25" s="1" t="s">
        <v>40</v>
      </c>
      <c r="B25" s="1" t="s">
        <v>14</v>
      </c>
      <c r="C25" s="2">
        <v>0</v>
      </c>
      <c r="D25" s="4">
        <v>0</v>
      </c>
      <c r="E25" s="2">
        <v>1</v>
      </c>
      <c r="F25" s="2">
        <f t="shared" si="0"/>
        <v>6.5</v>
      </c>
      <c r="G25" s="2">
        <v>0</v>
      </c>
      <c r="H25" s="6">
        <f t="shared" si="1"/>
        <v>6.5</v>
      </c>
      <c r="I25" s="7">
        <f t="shared" si="2"/>
        <v>0</v>
      </c>
      <c r="J25" s="1">
        <v>585</v>
      </c>
      <c r="K25" s="1">
        <v>0.25</v>
      </c>
      <c r="L25" s="5">
        <f t="shared" si="3"/>
        <v>5.3472656249999992E-3</v>
      </c>
    </row>
    <row r="26" spans="1:12" ht="22.5" customHeight="1" x14ac:dyDescent="0.25">
      <c r="A26" s="1" t="s">
        <v>41</v>
      </c>
      <c r="B26" s="1" t="s">
        <v>14</v>
      </c>
      <c r="C26" s="2">
        <v>0</v>
      </c>
      <c r="D26" s="4">
        <v>0</v>
      </c>
      <c r="E26" s="2">
        <v>1</v>
      </c>
      <c r="F26" s="2">
        <f t="shared" si="0"/>
        <v>6.5</v>
      </c>
      <c r="G26" s="2">
        <v>0</v>
      </c>
      <c r="H26" s="6">
        <f t="shared" si="1"/>
        <v>6.5</v>
      </c>
      <c r="I26" s="7">
        <f t="shared" si="2"/>
        <v>0</v>
      </c>
      <c r="J26" s="1">
        <v>585</v>
      </c>
      <c r="K26" s="1">
        <v>0.25</v>
      </c>
      <c r="L26" s="5">
        <f t="shared" si="3"/>
        <v>5.3472656249999992E-3</v>
      </c>
    </row>
    <row r="27" spans="1:12" ht="22.5" customHeight="1" x14ac:dyDescent="0.25">
      <c r="A27" s="1" t="s">
        <v>42</v>
      </c>
      <c r="B27" s="1" t="s">
        <v>14</v>
      </c>
      <c r="C27" s="2">
        <v>0</v>
      </c>
      <c r="D27" s="4">
        <v>0</v>
      </c>
      <c r="E27" s="2">
        <v>1</v>
      </c>
      <c r="F27" s="2">
        <f t="shared" si="0"/>
        <v>6.5</v>
      </c>
      <c r="G27" s="2">
        <v>0</v>
      </c>
      <c r="H27" s="6">
        <f t="shared" si="1"/>
        <v>6.5</v>
      </c>
      <c r="I27" s="7">
        <f t="shared" si="2"/>
        <v>0</v>
      </c>
      <c r="J27" s="1">
        <v>585</v>
      </c>
      <c r="K27" s="1">
        <v>0.25</v>
      </c>
      <c r="L27" s="5">
        <f t="shared" si="3"/>
        <v>5.3472656249999992E-3</v>
      </c>
    </row>
    <row r="28" spans="1:12" ht="22.5" customHeight="1" x14ac:dyDescent="0.25">
      <c r="A28" s="1" t="s">
        <v>43</v>
      </c>
      <c r="B28" s="1" t="s">
        <v>14</v>
      </c>
      <c r="C28" s="2">
        <v>0</v>
      </c>
      <c r="D28" s="4">
        <v>0</v>
      </c>
      <c r="E28" s="2">
        <v>1</v>
      </c>
      <c r="F28" s="2">
        <f t="shared" si="0"/>
        <v>6.5</v>
      </c>
      <c r="G28" s="2">
        <v>0</v>
      </c>
      <c r="H28" s="6">
        <f t="shared" si="1"/>
        <v>6.5</v>
      </c>
      <c r="I28" s="7">
        <f t="shared" si="2"/>
        <v>0</v>
      </c>
      <c r="J28" s="1">
        <v>585</v>
      </c>
      <c r="K28" s="1">
        <v>0.25</v>
      </c>
      <c r="L28" s="5">
        <f t="shared" si="3"/>
        <v>5.3472656249999992E-3</v>
      </c>
    </row>
    <row r="29" spans="1:12" ht="22.5" customHeight="1" x14ac:dyDescent="0.25">
      <c r="A29" s="1" t="s">
        <v>44</v>
      </c>
      <c r="B29" s="1" t="s">
        <v>14</v>
      </c>
      <c r="C29" s="2">
        <v>0</v>
      </c>
      <c r="D29" s="4">
        <v>0</v>
      </c>
      <c r="E29" s="2">
        <v>1</v>
      </c>
      <c r="F29" s="2">
        <f t="shared" si="0"/>
        <v>6.5</v>
      </c>
      <c r="G29" s="2">
        <v>0</v>
      </c>
      <c r="H29" s="6">
        <f t="shared" si="1"/>
        <v>6.5</v>
      </c>
      <c r="I29" s="7">
        <f t="shared" si="2"/>
        <v>0</v>
      </c>
      <c r="J29" s="1">
        <v>585</v>
      </c>
      <c r="K29" s="1">
        <v>0.25</v>
      </c>
      <c r="L29" s="5">
        <f t="shared" si="3"/>
        <v>5.3472656249999992E-3</v>
      </c>
    </row>
    <row r="30" spans="1:12" ht="22.5" customHeight="1" x14ac:dyDescent="0.25">
      <c r="A30" s="1" t="s">
        <v>45</v>
      </c>
      <c r="B30" s="1" t="s">
        <v>14</v>
      </c>
      <c r="C30" s="2">
        <v>0</v>
      </c>
      <c r="D30" s="4">
        <v>0</v>
      </c>
      <c r="E30" s="2">
        <v>1</v>
      </c>
      <c r="F30" s="2">
        <f t="shared" si="0"/>
        <v>6.5</v>
      </c>
      <c r="G30" s="2">
        <v>0</v>
      </c>
      <c r="H30" s="6">
        <f t="shared" si="1"/>
        <v>6.5</v>
      </c>
      <c r="I30" s="7">
        <f t="shared" si="2"/>
        <v>0</v>
      </c>
      <c r="J30" s="1">
        <v>585</v>
      </c>
      <c r="K30" s="1">
        <v>0.25</v>
      </c>
      <c r="L30" s="5">
        <f t="shared" si="3"/>
        <v>5.3472656249999992E-3</v>
      </c>
    </row>
    <row r="31" spans="1:12" ht="22.5" customHeight="1" x14ac:dyDescent="0.25">
      <c r="A31" s="1" t="s">
        <v>46</v>
      </c>
      <c r="B31" s="1" t="s">
        <v>14</v>
      </c>
      <c r="C31" s="2">
        <v>0</v>
      </c>
      <c r="D31" s="4">
        <v>0</v>
      </c>
      <c r="E31" s="2">
        <v>1</v>
      </c>
      <c r="F31" s="2">
        <f t="shared" si="0"/>
        <v>6.5</v>
      </c>
      <c r="G31" s="2">
        <v>0</v>
      </c>
      <c r="H31" s="6">
        <f t="shared" si="1"/>
        <v>6.5</v>
      </c>
      <c r="I31" s="7">
        <f t="shared" si="2"/>
        <v>0</v>
      </c>
      <c r="J31" s="1">
        <v>585</v>
      </c>
      <c r="K31" s="1">
        <v>0.25</v>
      </c>
      <c r="L31" s="5">
        <f t="shared" si="3"/>
        <v>5.3472656249999992E-3</v>
      </c>
    </row>
  </sheetData>
  <phoneticPr fontId="2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F5F13B6-EDD4-4A93-839F-57E71ED9E641}">
          <x14:formula1>
            <xm:f>Sheet2!$A$2:$A$5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D54F-65C0-43E1-8FC0-866F635C895A}">
  <dimension ref="A1:A5"/>
  <sheetViews>
    <sheetView workbookViewId="0">
      <selection activeCell="A6" sqref="A6"/>
    </sheetView>
  </sheetViews>
  <sheetFormatPr defaultRowHeight="15" x14ac:dyDescent="0.25"/>
  <cols>
    <col min="1" max="1" width="24.85546875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Borhan Torkfar</dc:creator>
  <cp:lastModifiedBy>Borhan Torkfar</cp:lastModifiedBy>
  <dcterms:created xsi:type="dcterms:W3CDTF">2015-06-05T18:17:20Z</dcterms:created>
  <dcterms:modified xsi:type="dcterms:W3CDTF">2025-11-12T22:28:47Z</dcterms:modified>
</cp:coreProperties>
</file>